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20" yWindow="30" windowWidth="19440" windowHeight="7740" tabRatio="450"/>
  </bookViews>
  <sheets>
    <sheet name="Entry" sheetId="1" r:id="rId1"/>
  </sheets>
  <definedNames>
    <definedName name="dynamo001" localSheetId="0" hidden="1">Entry!$D$24</definedName>
    <definedName name="dynamo001.Filter" localSheetId="0" hidden="1">FALSE</definedName>
    <definedName name="dynamo001.Format.Dim1.Applied" localSheetId="0" hidden="1">TRUE</definedName>
    <definedName name="dynamo001.Format.Dim1.Setting1" localSheetId="0" hidden="1">"[Default]~"&amp;CELL("address",Entry!#REF!)&amp;":"&amp;CELL("address",Entry!#REF!)&amp;"~NOSTYLE"</definedName>
    <definedName name="dynamo001.Format.Dim1.Type" localSheetId="0" hidden="1">"format"</definedName>
    <definedName name="dynamo001.Indent" localSheetId="0" hidden="1">FALSE</definedName>
    <definedName name="dynamo001.SkipRow" localSheetId="0" hidden="1">FALSE</definedName>
    <definedName name="dynamo001.SkipRowElem" localSheetId="0" hidden="1">FALSE</definedName>
    <definedName name="dynamo001.ZeroSuppress" localSheetId="0" hidden="1">FALSE</definedName>
    <definedName name="dynamo001INFO1" localSheetId="0" hidden="1">CELL("address",Entry!#REF!)&amp;"~"&amp;CELL("address",Entry!$D$24)&amp;"~"&amp;"B~"&amp;CELL("address",Entry!#REF!)&amp;"~999~"&amp;"CodeName~F~T~F~F~F~"&amp;"~"</definedName>
    <definedName name="dynamo001INFO1.ParentFirst" localSheetId="0" hidden="1">FALSE</definedName>
    <definedName name="Server">Entry!$C$2</definedName>
  </definedNames>
  <calcPr calcId="145621" calcMode="manual" concurrentCalc="0"/>
</workbook>
</file>

<file path=xl/calcChain.xml><?xml version="1.0" encoding="utf-8"?>
<calcChain xmlns="http://schemas.openxmlformats.org/spreadsheetml/2006/main">
  <c r="C3" i="1" l="1"/>
  <c r="C7" i="1"/>
  <c r="G12" i="1"/>
  <c r="U24" i="1"/>
  <c r="T24" i="1"/>
  <c r="S24" i="1"/>
  <c r="R24" i="1"/>
  <c r="Q24" i="1"/>
  <c r="P24" i="1"/>
  <c r="O24" i="1"/>
  <c r="N24" i="1"/>
  <c r="M24" i="1"/>
  <c r="L24" i="1"/>
  <c r="K24" i="1"/>
  <c r="J24" i="1"/>
  <c r="I24" i="1"/>
  <c r="H24" i="1"/>
  <c r="U23" i="1"/>
  <c r="T23" i="1"/>
  <c r="S23" i="1"/>
  <c r="R23" i="1"/>
  <c r="Q23" i="1"/>
  <c r="P23" i="1"/>
  <c r="O23" i="1"/>
  <c r="N23" i="1"/>
  <c r="M23" i="1"/>
  <c r="L23" i="1"/>
  <c r="K23" i="1"/>
  <c r="J23" i="1"/>
  <c r="I23" i="1"/>
  <c r="H23" i="1"/>
  <c r="U22" i="1"/>
  <c r="T22" i="1"/>
  <c r="S22" i="1"/>
  <c r="R22" i="1"/>
  <c r="Q22" i="1"/>
  <c r="P22" i="1"/>
  <c r="O22" i="1"/>
  <c r="N22" i="1"/>
  <c r="M22" i="1"/>
  <c r="L22" i="1"/>
  <c r="K22" i="1"/>
  <c r="J22" i="1"/>
  <c r="I22" i="1"/>
  <c r="H22" i="1"/>
  <c r="U21" i="1"/>
  <c r="T21" i="1"/>
  <c r="S21" i="1"/>
  <c r="R21" i="1"/>
  <c r="Q21" i="1"/>
  <c r="P21" i="1"/>
  <c r="O21" i="1"/>
  <c r="N21" i="1"/>
  <c r="M21" i="1"/>
  <c r="L21" i="1"/>
  <c r="K21" i="1"/>
  <c r="J21" i="1"/>
  <c r="I21" i="1"/>
  <c r="H21" i="1"/>
  <c r="U20" i="1"/>
  <c r="T20" i="1"/>
  <c r="S20" i="1"/>
  <c r="R20" i="1"/>
  <c r="Q20" i="1"/>
  <c r="P20" i="1"/>
  <c r="O20" i="1"/>
  <c r="N20" i="1"/>
  <c r="M20" i="1"/>
  <c r="L20" i="1"/>
  <c r="K20" i="1"/>
  <c r="J20" i="1"/>
  <c r="I20" i="1"/>
  <c r="H20" i="1"/>
  <c r="U19" i="1"/>
  <c r="T19" i="1"/>
  <c r="S19" i="1"/>
  <c r="R19" i="1"/>
  <c r="Q19" i="1"/>
  <c r="P19" i="1"/>
  <c r="O19" i="1"/>
  <c r="N19" i="1"/>
  <c r="M19" i="1"/>
  <c r="L19" i="1"/>
  <c r="K19" i="1"/>
  <c r="J19" i="1"/>
  <c r="I19" i="1"/>
  <c r="H19" i="1"/>
  <c r="C9" i="1"/>
  <c r="G24" i="1"/>
  <c r="G23" i="1"/>
  <c r="G22" i="1"/>
  <c r="G21" i="1"/>
  <c r="G20" i="1"/>
  <c r="G19" i="1"/>
  <c r="C8" i="1"/>
  <c r="C6" i="1"/>
</calcChain>
</file>

<file path=xl/comments1.xml><?xml version="1.0" encoding="utf-8"?>
<comments xmlns="http://schemas.openxmlformats.org/spreadsheetml/2006/main">
  <authors>
    <author>Dynamo!</author>
  </authors>
  <commentList>
    <comment ref="D24" authorId="0">
      <text>
        <r>
          <rPr>
            <sz val="9"/>
            <color indexed="81"/>
            <rFont val="Tahoma"/>
            <family val="2"/>
          </rPr>
          <t>Dynamo! Row</t>
        </r>
      </text>
    </comment>
  </commentList>
</comments>
</file>

<file path=xl/sharedStrings.xml><?xml version="1.0" encoding="utf-8"?>
<sst xmlns="http://schemas.openxmlformats.org/spreadsheetml/2006/main" count="63" uniqueCount="51">
  <si>
    <t>Server:</t>
  </si>
  <si>
    <t>Cube:</t>
  </si>
  <si>
    <t>Hardcode</t>
  </si>
  <si>
    <t>Plan</t>
  </si>
  <si>
    <t>Medical</t>
  </si>
  <si>
    <t>Dental</t>
  </si>
  <si>
    <t>Dimension</t>
  </si>
  <si>
    <t>Percent</t>
  </si>
  <si>
    <t>Rate</t>
  </si>
  <si>
    <t>FICA</t>
  </si>
  <si>
    <t>Wage Limit</t>
  </si>
  <si>
    <t>Tax Info</t>
  </si>
  <si>
    <t>005 - Fuji (New Wave)</t>
  </si>
  <si>
    <t>FICA %</t>
  </si>
  <si>
    <t>FICA Wage</t>
  </si>
  <si>
    <t>Company</t>
  </si>
  <si>
    <t>Columns</t>
  </si>
  <si>
    <t>Medicare %</t>
  </si>
  <si>
    <t>Fed Un %</t>
  </si>
  <si>
    <t>Fed Un Wage</t>
  </si>
  <si>
    <t>St Un %</t>
  </si>
  <si>
    <t>St Un Wage</t>
  </si>
  <si>
    <t>Medical Rate</t>
  </si>
  <si>
    <t>Dental Rate</t>
  </si>
  <si>
    <t>Corporate</t>
  </si>
  <si>
    <t>001 - McIntosh (Rock)</t>
  </si>
  <si>
    <t>002 - Granny Smith (Oldies)</t>
  </si>
  <si>
    <t>003 - Gold Delicious (Jazz)</t>
  </si>
  <si>
    <t>004 - Red Delicious (Hip Hop)</t>
  </si>
  <si>
    <t>Pick</t>
  </si>
  <si>
    <t>Total Years</t>
  </si>
  <si>
    <t>401K</t>
  </si>
  <si>
    <t>Matching</t>
  </si>
  <si>
    <t>401K Match %</t>
  </si>
  <si>
    <t>401K Wage</t>
  </si>
  <si>
    <t>Life Insurance Rate</t>
  </si>
  <si>
    <t>Year:</t>
  </si>
  <si>
    <t>Life Ins</t>
  </si>
  <si>
    <t>Other</t>
  </si>
  <si>
    <t>Other Benefits Rate</t>
  </si>
  <si>
    <t>Other Rates</t>
  </si>
  <si>
    <t xml:space="preserve">Medicare </t>
  </si>
  <si>
    <t>Other Tax</t>
  </si>
  <si>
    <t>Other Tax Rate %</t>
  </si>
  <si>
    <t>COLUMN REFERENCES  &gt;&gt;&gt;&gt;&gt;</t>
  </si>
  <si>
    <t>#</t>
  </si>
  <si>
    <t>Where Used:</t>
  </si>
  <si>
    <t>Subset/Value:</t>
  </si>
  <si>
    <t>PTR01-AC:</t>
  </si>
  <si>
    <t>Fed Unemp</t>
  </si>
  <si>
    <t>State Unemp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</si>
</sst>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0.0%"/>
    <numFmt numFmtId="165" formatCode="_(* #,##0_);_(* \(#,##0\);_(* &quot;-&quot;??_);_(@_)"/>
  </numFmts>
  <fonts count="10" x14ac:knownFonts="1">
    <font>
      <sz val="11"/>
      <color theme="1"/>
      <name val="Calibri"/>
      <family val="2"/>
    </font>
    <font>
      <sz val="9"/>
      <color indexed="81"/>
      <name val="Tahoma"/>
      <family val="2"/>
    </font>
    <font>
      <sz val="11"/>
      <color theme="1"/>
      <name val="Calibri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theme="0" tint="-0.34998626667073579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42">
    <xf numFmtId="0" fontId="0" fillId="0" borderId="0" xfId="0"/>
    <xf numFmtId="0" fontId="3" fillId="0" borderId="0" xfId="0" applyFont="1"/>
    <xf numFmtId="0" fontId="3" fillId="0" borderId="0" xfId="0" applyFont="1" applyFill="1"/>
    <xf numFmtId="0" fontId="4" fillId="0" borderId="0" xfId="0" applyFont="1" applyAlignment="1">
      <alignment horizontal="right" indent="1"/>
    </xf>
    <xf numFmtId="0" fontId="5" fillId="0" borderId="1" xfId="0" applyFont="1" applyBorder="1"/>
    <xf numFmtId="0" fontId="3" fillId="0" borderId="0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43" fontId="6" fillId="5" borderId="1" xfId="1" applyNumberFormat="1" applyFont="1" applyFill="1" applyBorder="1" applyAlignment="1">
      <alignment horizontal="left"/>
    </xf>
    <xf numFmtId="0" fontId="5" fillId="0" borderId="1" xfId="0" applyFont="1" applyBorder="1" applyAlignment="1">
      <alignment horizontal="center"/>
    </xf>
    <xf numFmtId="0" fontId="5" fillId="0" borderId="1" xfId="0" applyFont="1" applyBorder="1" applyAlignment="1">
      <alignment horizontal="left"/>
    </xf>
    <xf numFmtId="0" fontId="3" fillId="0" borderId="1" xfId="0" applyFont="1" applyFill="1" applyBorder="1"/>
    <xf numFmtId="0" fontId="3" fillId="0" borderId="1" xfId="0" applyFont="1" applyFill="1" applyBorder="1" applyAlignment="1">
      <alignment horizontal="left"/>
    </xf>
    <xf numFmtId="0" fontId="5" fillId="0" borderId="0" xfId="0" applyFont="1"/>
    <xf numFmtId="0" fontId="4" fillId="4" borderId="1" xfId="0" quotePrefix="1" applyFont="1" applyFill="1" applyBorder="1" applyAlignment="1">
      <alignment horizontal="center"/>
    </xf>
    <xf numFmtId="0" fontId="8" fillId="3" borderId="5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5" fillId="0" borderId="0" xfId="0" applyFont="1" applyFill="1"/>
    <xf numFmtId="0" fontId="5" fillId="0" borderId="0" xfId="0" quotePrefix="1" applyFont="1"/>
    <xf numFmtId="164" fontId="3" fillId="0" borderId="2" xfId="0" applyNumberFormat="1" applyFont="1" applyFill="1" applyBorder="1" applyAlignment="1">
      <alignment horizontal="center"/>
    </xf>
    <xf numFmtId="165" fontId="3" fillId="0" borderId="2" xfId="1" applyNumberFormat="1" applyFont="1" applyFill="1" applyBorder="1" applyAlignment="1">
      <alignment horizontal="center"/>
    </xf>
    <xf numFmtId="43" fontId="3" fillId="0" borderId="2" xfId="1" applyNumberFormat="1" applyFont="1" applyFill="1" applyBorder="1" applyAlignment="1">
      <alignment horizontal="center"/>
    </xf>
    <xf numFmtId="43" fontId="3" fillId="0" borderId="1" xfId="1" applyNumberFormat="1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5" fillId="6" borderId="1" xfId="0" applyFont="1" applyFill="1" applyBorder="1"/>
    <xf numFmtId="0" fontId="9" fillId="0" borderId="0" xfId="0" applyFont="1"/>
    <xf numFmtId="0" fontId="9" fillId="0" borderId="6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8" fillId="4" borderId="1" xfId="0" applyFont="1" applyFill="1" applyBorder="1" applyAlignment="1">
      <alignment horizontal="center" wrapText="1"/>
    </xf>
    <xf numFmtId="0" fontId="8" fillId="2" borderId="5" xfId="0" applyFont="1" applyFill="1" applyBorder="1" applyAlignment="1">
      <alignment horizontal="center" wrapText="1"/>
    </xf>
    <xf numFmtId="0" fontId="7" fillId="3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8" fillId="4" borderId="2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8" fillId="2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7" fillId="4" borderId="3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8" fillId="4" borderId="4" xfId="0" applyFont="1" applyFill="1" applyBorder="1" applyAlignment="1">
      <alignment horizont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4"/>
  <sheetViews>
    <sheetView showGridLines="0" tabSelected="1" topLeftCell="F10" zoomScale="90" zoomScaleNormal="90" workbookViewId="0">
      <selection activeCell="G12" sqref="G12"/>
    </sheetView>
  </sheetViews>
  <sheetFormatPr defaultRowHeight="15" outlineLevelRow="1" outlineLevelCol="1" x14ac:dyDescent="0.25"/>
  <cols>
    <col min="1" max="1" width="2.85546875" hidden="1" customWidth="1" outlineLevel="1"/>
    <col min="2" max="2" width="8" hidden="1" customWidth="1" outlineLevel="1"/>
    <col min="3" max="3" width="36" hidden="1" customWidth="1" outlineLevel="1"/>
    <col min="4" max="4" width="14.28515625" hidden="1" customWidth="1" outlineLevel="1"/>
    <col min="5" max="5" width="14.42578125" hidden="1" customWidth="1" outlineLevel="1"/>
    <col min="6" max="6" width="2.7109375" customWidth="1" collapsed="1"/>
    <col min="7" max="7" width="28.7109375" customWidth="1"/>
    <col min="8" max="10" width="8.7109375" customWidth="1"/>
    <col min="11" max="11" width="7.7109375" customWidth="1"/>
    <col min="12" max="13" width="8.7109375" customWidth="1"/>
    <col min="14" max="14" width="9.140625" customWidth="1"/>
    <col min="15" max="15" width="8.7109375" customWidth="1"/>
    <col min="16" max="16" width="7.7109375" customWidth="1"/>
    <col min="17" max="17" width="9.7109375" customWidth="1"/>
    <col min="18" max="19" width="8.7109375" customWidth="1"/>
    <col min="20" max="20" width="8.7109375" hidden="1" customWidth="1"/>
    <col min="21" max="21" width="8.7109375" customWidth="1"/>
  </cols>
  <sheetData>
    <row r="1" spans="1:21" s="2" customFormat="1" ht="12.75" hidden="1" outlineLevel="1" x14ac:dyDescent="0.2"/>
    <row r="2" spans="1:21" s="2" customFormat="1" hidden="1" outlineLevel="1" x14ac:dyDescent="0.25">
      <c r="B2" s="3" t="s">
        <v>0</v>
      </c>
      <c r="C2" s="4" t="s">
        <v>48</v>
      </c>
    </row>
    <row r="3" spans="1:21" s="2" customFormat="1" hidden="1" outlineLevel="1" x14ac:dyDescent="0.25">
      <c r="B3" s="3" t="s">
        <v>1</v>
      </c>
      <c r="C3" s="4" t="str">
        <f>Server&amp;"bpmStaff_Rates_Company"</f>
        <v>PTR01-AC:bpmStaff_Rates_Company</v>
      </c>
      <c r="E3" s="5"/>
    </row>
    <row r="4" spans="1:21" s="2" customFormat="1" ht="12.75" hidden="1" outlineLevel="1" x14ac:dyDescent="0.2">
      <c r="B4" s="5"/>
      <c r="C4" s="5"/>
      <c r="E4" s="5"/>
    </row>
    <row r="5" spans="1:21" s="2" customFormat="1" ht="12.75" hidden="1" outlineLevel="1" x14ac:dyDescent="0.2">
      <c r="B5" s="6" t="s">
        <v>45</v>
      </c>
      <c r="C5" s="7" t="s">
        <v>6</v>
      </c>
      <c r="D5" s="6" t="s">
        <v>46</v>
      </c>
      <c r="E5" s="7" t="s">
        <v>47</v>
      </c>
      <c r="G5" s="8" t="s">
        <v>44</v>
      </c>
    </row>
    <row r="6" spans="1:21" s="2" customFormat="1" hidden="1" outlineLevel="1" x14ac:dyDescent="0.25">
      <c r="B6" s="6">
        <v>1</v>
      </c>
      <c r="C6" s="4" t="str">
        <f ca="1" xml:space="preserve"> Server &amp; _xll.TABDIM($C$3,$B6)</f>
        <v>PTR01-AC:bpmScenario</v>
      </c>
      <c r="D6" s="9" t="s">
        <v>2</v>
      </c>
      <c r="E6" s="10" t="s">
        <v>3</v>
      </c>
    </row>
    <row r="7" spans="1:21" s="2" customFormat="1" ht="12.75" hidden="1" outlineLevel="1" x14ac:dyDescent="0.2">
      <c r="B7" s="11">
        <v>2</v>
      </c>
      <c r="C7" s="11" t="str">
        <f ca="1" xml:space="preserve"> Server &amp; _xll.TABDIM($C$3,$B7)</f>
        <v>PTR01-AC:bpmYear</v>
      </c>
      <c r="D7" s="11" t="s">
        <v>29</v>
      </c>
      <c r="E7" s="12" t="s">
        <v>30</v>
      </c>
    </row>
    <row r="8" spans="1:21" s="2" customFormat="1" ht="12.75" hidden="1" outlineLevel="1" x14ac:dyDescent="0.2">
      <c r="B8" s="11">
        <v>3</v>
      </c>
      <c r="C8" s="11" t="str">
        <f ca="1" xml:space="preserve"> Server &amp; _xll.TABDIM($C$3,$B8)</f>
        <v>PTR01-AC:bpmCompany</v>
      </c>
      <c r="D8" s="11" t="s">
        <v>16</v>
      </c>
      <c r="E8" s="12"/>
    </row>
    <row r="9" spans="1:21" s="2" customFormat="1" ht="12.75" hidden="1" outlineLevel="1" x14ac:dyDescent="0.2">
      <c r="B9" s="11">
        <v>4</v>
      </c>
      <c r="C9" s="11" t="str">
        <f ca="1" xml:space="preserve"> Server &amp; _xll.TABDIM($C$3,$B9)</f>
        <v>PTR01-AC:bpmStaff_Default_Msr</v>
      </c>
      <c r="D9" s="11" t="s">
        <v>16</v>
      </c>
      <c r="E9" s="12"/>
      <c r="H9" s="2" t="s">
        <v>13</v>
      </c>
      <c r="I9" s="2" t="s">
        <v>14</v>
      </c>
      <c r="J9" s="2" t="s">
        <v>18</v>
      </c>
      <c r="K9" s="2" t="s">
        <v>19</v>
      </c>
      <c r="L9" s="2" t="s">
        <v>20</v>
      </c>
      <c r="M9" s="2" t="s">
        <v>21</v>
      </c>
      <c r="N9" s="2" t="s">
        <v>43</v>
      </c>
      <c r="O9" s="2" t="s">
        <v>33</v>
      </c>
      <c r="P9" s="2" t="s">
        <v>34</v>
      </c>
      <c r="Q9" s="2" t="s">
        <v>17</v>
      </c>
      <c r="R9" s="2" t="s">
        <v>23</v>
      </c>
      <c r="S9" s="2" t="s">
        <v>22</v>
      </c>
      <c r="T9" s="2" t="s">
        <v>35</v>
      </c>
      <c r="U9" s="2" t="s">
        <v>39</v>
      </c>
    </row>
    <row r="10" spans="1:21" s="1" customFormat="1" ht="12.75" collapsed="1" x14ac:dyDescent="0.2">
      <c r="A10" s="2"/>
      <c r="B10" s="5"/>
      <c r="C10" s="5"/>
      <c r="D10" s="5"/>
      <c r="E10" s="5"/>
    </row>
    <row r="11" spans="1:21" s="1" customFormat="1" ht="12.75" x14ac:dyDescent="0.2">
      <c r="A11" s="2"/>
      <c r="B11" s="5"/>
      <c r="C11" s="5"/>
      <c r="D11" s="5"/>
      <c r="E11" s="5"/>
      <c r="G11" s="30" t="s">
        <v>36</v>
      </c>
    </row>
    <row r="12" spans="1:21" s="1" customFormat="1" x14ac:dyDescent="0.25">
      <c r="A12" s="2"/>
      <c r="B12" s="2"/>
      <c r="C12" s="13"/>
      <c r="D12" s="13"/>
      <c r="E12" s="13"/>
      <c r="G12" s="14" t="str">
        <f ca="1">_xll.SUBNM($C$7,"Plan Years","2016")</f>
        <v>2016</v>
      </c>
      <c r="L12" s="13"/>
      <c r="M12" s="13"/>
      <c r="N12" s="13"/>
      <c r="O12" s="13"/>
      <c r="P12" s="13"/>
      <c r="Q12" s="13"/>
      <c r="R12" s="13"/>
    </row>
    <row r="13" spans="1:21" s="1" customFormat="1" ht="6" customHeight="1" thickBot="1" x14ac:dyDescent="0.25">
      <c r="C13" s="27"/>
      <c r="D13" s="27"/>
      <c r="E13" s="27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</row>
    <row r="14" spans="1:21" s="1" customFormat="1" ht="6" customHeight="1" thickTop="1" x14ac:dyDescent="0.25">
      <c r="C14"/>
      <c r="D14"/>
      <c r="E14"/>
      <c r="G14" s="29"/>
    </row>
    <row r="15" spans="1:21" s="1" customFormat="1" ht="12.75" x14ac:dyDescent="0.2">
      <c r="A15" s="2"/>
      <c r="B15" s="2"/>
      <c r="C15" s="2"/>
      <c r="D15" s="2"/>
      <c r="E15" s="2"/>
      <c r="H15" s="38" t="s">
        <v>11</v>
      </c>
      <c r="I15" s="39"/>
      <c r="J15" s="39"/>
      <c r="K15" s="39"/>
      <c r="L15" s="39"/>
      <c r="M15" s="39"/>
      <c r="N15" s="40"/>
      <c r="O15" s="36" t="s">
        <v>31</v>
      </c>
      <c r="P15" s="36"/>
      <c r="Q15" s="33" t="s">
        <v>40</v>
      </c>
      <c r="R15" s="33"/>
      <c r="S15" s="33"/>
      <c r="T15" s="33"/>
      <c r="U15" s="33"/>
    </row>
    <row r="16" spans="1:21" s="1" customFormat="1" ht="12.75" x14ac:dyDescent="0.2">
      <c r="A16" s="2"/>
      <c r="B16" s="2"/>
      <c r="C16" s="2"/>
      <c r="D16" s="2"/>
      <c r="E16" s="2"/>
      <c r="H16" s="34" t="s">
        <v>9</v>
      </c>
      <c r="I16" s="35"/>
      <c r="J16" s="34" t="s">
        <v>49</v>
      </c>
      <c r="K16" s="35"/>
      <c r="L16" s="35" t="s">
        <v>50</v>
      </c>
      <c r="M16" s="41"/>
      <c r="N16" s="25" t="s">
        <v>42</v>
      </c>
      <c r="O16" s="37" t="s">
        <v>32</v>
      </c>
      <c r="P16" s="37"/>
      <c r="Q16" s="15" t="s">
        <v>41</v>
      </c>
      <c r="R16" s="15" t="s">
        <v>5</v>
      </c>
      <c r="S16" s="15" t="s">
        <v>4</v>
      </c>
      <c r="T16" s="15" t="s">
        <v>37</v>
      </c>
      <c r="U16" s="15" t="s">
        <v>38</v>
      </c>
    </row>
    <row r="17" spans="1:21" s="1" customFormat="1" ht="24.95" customHeight="1" x14ac:dyDescent="0.2">
      <c r="A17" s="2"/>
      <c r="B17" s="2"/>
      <c r="C17" s="2"/>
      <c r="D17" s="2"/>
      <c r="E17" s="2"/>
      <c r="G17" s="16" t="s">
        <v>15</v>
      </c>
      <c r="H17" s="16" t="s">
        <v>7</v>
      </c>
      <c r="I17" s="31" t="s">
        <v>10</v>
      </c>
      <c r="J17" s="16" t="s">
        <v>7</v>
      </c>
      <c r="K17" s="31" t="s">
        <v>10</v>
      </c>
      <c r="L17" s="16" t="s">
        <v>7</v>
      </c>
      <c r="M17" s="31" t="s">
        <v>10</v>
      </c>
      <c r="N17" s="16" t="s">
        <v>7</v>
      </c>
      <c r="O17" s="17" t="s">
        <v>7</v>
      </c>
      <c r="P17" s="32" t="s">
        <v>10</v>
      </c>
      <c r="Q17" s="18" t="s">
        <v>7</v>
      </c>
      <c r="R17" s="18" t="s">
        <v>8</v>
      </c>
      <c r="S17" s="18" t="s">
        <v>8</v>
      </c>
      <c r="T17" s="18" t="s">
        <v>8</v>
      </c>
      <c r="U17" s="18" t="s">
        <v>8</v>
      </c>
    </row>
    <row r="18" spans="1:21" s="1" customFormat="1" ht="12.75" x14ac:dyDescent="0.2">
      <c r="A18" s="2"/>
      <c r="B18" s="2"/>
      <c r="C18" s="2"/>
      <c r="D18" s="2"/>
      <c r="E18" s="2"/>
    </row>
    <row r="19" spans="1:21" s="13" customFormat="1" x14ac:dyDescent="0.25">
      <c r="A19" s="19"/>
      <c r="D19" s="20" t="s">
        <v>24</v>
      </c>
      <c r="G19" s="26" t="str">
        <f t="shared" ref="G19:G22" si="0">D19</f>
        <v>Corporate</v>
      </c>
      <c r="H19" s="21">
        <f ca="1">_xll.DBRW($C$3,$E$6,$G$12,$D19,H$9)</f>
        <v>6.2E-2</v>
      </c>
      <c r="I19" s="22">
        <f ca="1">_xll.DBRW($C$3,$E$6,$G$12,$D19,I$9)</f>
        <v>118500</v>
      </c>
      <c r="J19" s="21">
        <f ca="1">_xll.DBRW($C$3,$E$6,$G$12,$D19,J$9)</f>
        <v>6.0000000000000001E-3</v>
      </c>
      <c r="K19" s="22">
        <f ca="1">_xll.DBRW($C$3,$E$6,$G$12,$D19,K$9)</f>
        <v>7000</v>
      </c>
      <c r="L19" s="21">
        <f ca="1">_xll.DBRW($C$3,$E$6,$G$12,$D19,L$9)</f>
        <v>1.4999999999999999E-2</v>
      </c>
      <c r="M19" s="22">
        <f ca="1">_xll.DBRW($C$3,$E$6,$G$12,$D19,M$9)</f>
        <v>15900</v>
      </c>
      <c r="N19" s="21">
        <f ca="1">_xll.DBRW($C$3,$E$6,$G$12,$D19,N$9)</f>
        <v>0</v>
      </c>
      <c r="O19" s="21">
        <f ca="1">_xll.DBRW($C$3,$E$6,$G$12,$D19,O$9)</f>
        <v>0.1</v>
      </c>
      <c r="P19" s="22">
        <f ca="1">_xll.DBRW($C$3,$E$6,$G$12,$D19,P$9)</f>
        <v>20000</v>
      </c>
      <c r="Q19" s="21">
        <f ca="1">_xll.DBRW($C$3,$E$6,$G$12,$D19,Q$9)</f>
        <v>1.4500000000000001E-2</v>
      </c>
      <c r="R19" s="23">
        <f ca="1">_xll.DBRW($C$3,$E$6,$G$12,$D19,R$9)</f>
        <v>86</v>
      </c>
      <c r="S19" s="23">
        <f ca="1">_xll.DBRW($C$3,$E$6,$G$12,$D19,S$9)</f>
        <v>150</v>
      </c>
      <c r="T19" s="23">
        <f ca="1">_xll.DBRW($C$3,$E$6,$G$12,$D19,T$9)</f>
        <v>35</v>
      </c>
      <c r="U19" s="24">
        <f ca="1">_xll.DBRW($C$3,$E$6,$G$12,$D19,U$9)</f>
        <v>25</v>
      </c>
    </row>
    <row r="20" spans="1:21" s="13" customFormat="1" x14ac:dyDescent="0.25">
      <c r="A20" s="19"/>
      <c r="D20" s="20" t="s">
        <v>25</v>
      </c>
      <c r="G20" s="26" t="str">
        <f t="shared" si="0"/>
        <v>001 - McIntosh (Rock)</v>
      </c>
      <c r="H20" s="21">
        <f ca="1">_xll.DBRW($C$3,$E$6,$G$12,$D20,H$9)</f>
        <v>6.2E-2</v>
      </c>
      <c r="I20" s="22">
        <f ca="1">_xll.DBRW($C$3,$E$6,$G$12,$D20,I$9)</f>
        <v>118500</v>
      </c>
      <c r="J20" s="21">
        <f ca="1">_xll.DBRW($C$3,$E$6,$G$12,$D20,J$9)</f>
        <v>6.0000000000000001E-3</v>
      </c>
      <c r="K20" s="22">
        <f ca="1">_xll.DBRW($C$3,$E$6,$G$12,$D20,K$9)</f>
        <v>7000</v>
      </c>
      <c r="L20" s="21">
        <f ca="1">_xll.DBRW($C$3,$E$6,$G$12,$D20,L$9)</f>
        <v>0.02</v>
      </c>
      <c r="M20" s="22">
        <f ca="1">_xll.DBRW($C$3,$E$6,$G$12,$D20,M$9)</f>
        <v>25000</v>
      </c>
      <c r="N20" s="21">
        <f ca="1">_xll.DBRW($C$3,$E$6,$G$12,$D20,N$9)</f>
        <v>0.1</v>
      </c>
      <c r="O20" s="21">
        <f ca="1">_xll.DBRW($C$3,$E$6,$G$12,$D20,O$9)</f>
        <v>0.1</v>
      </c>
      <c r="P20" s="22">
        <f ca="1">_xll.DBRW($C$3,$E$6,$G$12,$D20,P$9)</f>
        <v>20000</v>
      </c>
      <c r="Q20" s="21">
        <f ca="1">_xll.DBRW($C$3,$E$6,$G$12,$D20,Q$9)</f>
        <v>1.4500000000000001E-2</v>
      </c>
      <c r="R20" s="23">
        <f ca="1">_xll.DBRW($C$3,$E$6,$G$12,$D20,R$9)</f>
        <v>86</v>
      </c>
      <c r="S20" s="23">
        <f ca="1">_xll.DBRW($C$3,$E$6,$G$12,$D20,S$9)</f>
        <v>150</v>
      </c>
      <c r="T20" s="23">
        <f ca="1">_xll.DBRW($C$3,$E$6,$G$12,$D20,T$9)</f>
        <v>35</v>
      </c>
      <c r="U20" s="24">
        <f ca="1">_xll.DBRW($C$3,$E$6,$G$12,$D20,U$9)</f>
        <v>25</v>
      </c>
    </row>
    <row r="21" spans="1:21" s="13" customFormat="1" x14ac:dyDescent="0.25">
      <c r="A21" s="19"/>
      <c r="D21" s="20" t="s">
        <v>26</v>
      </c>
      <c r="G21" s="26" t="str">
        <f t="shared" si="0"/>
        <v>002 - Granny Smith (Oldies)</v>
      </c>
      <c r="H21" s="21">
        <f ca="1">_xll.DBRW($C$3,$E$6,$G$12,$D21,H$9)</f>
        <v>6.2E-2</v>
      </c>
      <c r="I21" s="22">
        <f ca="1">_xll.DBRW($C$3,$E$6,$G$12,$D21,I$9)</f>
        <v>118500</v>
      </c>
      <c r="J21" s="21">
        <f ca="1">_xll.DBRW($C$3,$E$6,$G$12,$D21,J$9)</f>
        <v>6.0000000000000001E-3</v>
      </c>
      <c r="K21" s="22">
        <f ca="1">_xll.DBRW($C$3,$E$6,$G$12,$D21,K$9)</f>
        <v>7000</v>
      </c>
      <c r="L21" s="21">
        <f ca="1">_xll.DBRW($C$3,$E$6,$G$12,$D21,L$9)</f>
        <v>1.4999999999999999E-2</v>
      </c>
      <c r="M21" s="22">
        <f ca="1">_xll.DBRW($C$3,$E$6,$G$12,$D21,M$9)</f>
        <v>15900</v>
      </c>
      <c r="N21" s="21">
        <f ca="1">_xll.DBRW($C$3,$E$6,$G$12,$D21,N$9)</f>
        <v>0</v>
      </c>
      <c r="O21" s="21">
        <f ca="1">_xll.DBRW($C$3,$E$6,$G$12,$D21,O$9)</f>
        <v>0.1</v>
      </c>
      <c r="P21" s="22">
        <f ca="1">_xll.DBRW($C$3,$E$6,$G$12,$D21,P$9)</f>
        <v>20000</v>
      </c>
      <c r="Q21" s="21">
        <f ca="1">_xll.DBRW($C$3,$E$6,$G$12,$D21,Q$9)</f>
        <v>1.4500000000000001E-2</v>
      </c>
      <c r="R21" s="23">
        <f ca="1">_xll.DBRW($C$3,$E$6,$G$12,$D21,R$9)</f>
        <v>86</v>
      </c>
      <c r="S21" s="23">
        <f ca="1">_xll.DBRW($C$3,$E$6,$G$12,$D21,S$9)</f>
        <v>150</v>
      </c>
      <c r="T21" s="23">
        <f ca="1">_xll.DBRW($C$3,$E$6,$G$12,$D21,T$9)</f>
        <v>35</v>
      </c>
      <c r="U21" s="24">
        <f ca="1">_xll.DBRW($C$3,$E$6,$G$12,$D21,U$9)</f>
        <v>25</v>
      </c>
    </row>
    <row r="22" spans="1:21" s="13" customFormat="1" x14ac:dyDescent="0.25">
      <c r="A22" s="19"/>
      <c r="D22" s="20" t="s">
        <v>27</v>
      </c>
      <c r="G22" s="26" t="str">
        <f t="shared" si="0"/>
        <v>003 - Gold Delicious (Jazz)</v>
      </c>
      <c r="H22" s="21">
        <f ca="1">_xll.DBRW($C$3,$E$6,$G$12,$D22,H$9)</f>
        <v>6.2E-2</v>
      </c>
      <c r="I22" s="22">
        <f ca="1">_xll.DBRW($C$3,$E$6,$G$12,$D22,I$9)</f>
        <v>118500</v>
      </c>
      <c r="J22" s="21">
        <f ca="1">_xll.DBRW($C$3,$E$6,$G$12,$D22,J$9)</f>
        <v>6.0000000000000001E-3</v>
      </c>
      <c r="K22" s="22">
        <f ca="1">_xll.DBRW($C$3,$E$6,$G$12,$D22,K$9)</f>
        <v>7000</v>
      </c>
      <c r="L22" s="21">
        <f ca="1">_xll.DBRW($C$3,$E$6,$G$12,$D22,L$9)</f>
        <v>1.4999999999999999E-2</v>
      </c>
      <c r="M22" s="22">
        <f ca="1">_xll.DBRW($C$3,$E$6,$G$12,$D22,M$9)</f>
        <v>15900</v>
      </c>
      <c r="N22" s="21">
        <f ca="1">_xll.DBRW($C$3,$E$6,$G$12,$D22,N$9)</f>
        <v>0</v>
      </c>
      <c r="O22" s="21">
        <f ca="1">_xll.DBRW($C$3,$E$6,$G$12,$D22,O$9)</f>
        <v>0.1</v>
      </c>
      <c r="P22" s="22">
        <f ca="1">_xll.DBRW($C$3,$E$6,$G$12,$D22,P$9)</f>
        <v>20000</v>
      </c>
      <c r="Q22" s="21">
        <f ca="1">_xll.DBRW($C$3,$E$6,$G$12,$D22,Q$9)</f>
        <v>1.4500000000000001E-2</v>
      </c>
      <c r="R22" s="23">
        <f ca="1">_xll.DBRW($C$3,$E$6,$G$12,$D22,R$9)</f>
        <v>86</v>
      </c>
      <c r="S22" s="23">
        <f ca="1">_xll.DBRW($C$3,$E$6,$G$12,$D22,S$9)</f>
        <v>150</v>
      </c>
      <c r="T22" s="23">
        <f ca="1">_xll.DBRW($C$3,$E$6,$G$12,$D22,T$9)</f>
        <v>35</v>
      </c>
      <c r="U22" s="24">
        <f ca="1">_xll.DBRW($C$3,$E$6,$G$12,$D22,U$9)</f>
        <v>25</v>
      </c>
    </row>
    <row r="23" spans="1:21" s="13" customFormat="1" x14ac:dyDescent="0.25">
      <c r="A23" s="19"/>
      <c r="D23" s="20" t="s">
        <v>28</v>
      </c>
      <c r="G23" s="26" t="str">
        <f t="shared" ref="G23" si="1">D23</f>
        <v>004 - Red Delicious (Hip Hop)</v>
      </c>
      <c r="H23" s="21">
        <f ca="1">_xll.DBRW($C$3,$E$6,$G$12,$D23,H$9)</f>
        <v>6.2E-2</v>
      </c>
      <c r="I23" s="22">
        <f ca="1">_xll.DBRW($C$3,$E$6,$G$12,$D23,I$9)</f>
        <v>118500</v>
      </c>
      <c r="J23" s="21">
        <f ca="1">_xll.DBRW($C$3,$E$6,$G$12,$D23,J$9)</f>
        <v>6.0000000000000001E-3</v>
      </c>
      <c r="K23" s="22">
        <f ca="1">_xll.DBRW($C$3,$E$6,$G$12,$D23,K$9)</f>
        <v>7000</v>
      </c>
      <c r="L23" s="21">
        <f ca="1">_xll.DBRW($C$3,$E$6,$G$12,$D23,L$9)</f>
        <v>1.4999999999999999E-2</v>
      </c>
      <c r="M23" s="22">
        <f ca="1">_xll.DBRW($C$3,$E$6,$G$12,$D23,M$9)</f>
        <v>15900</v>
      </c>
      <c r="N23" s="21">
        <f ca="1">_xll.DBRW($C$3,$E$6,$G$12,$D23,N$9)</f>
        <v>0</v>
      </c>
      <c r="O23" s="21">
        <f ca="1">_xll.DBRW($C$3,$E$6,$G$12,$D23,O$9)</f>
        <v>0.1</v>
      </c>
      <c r="P23" s="22">
        <f ca="1">_xll.DBRW($C$3,$E$6,$G$12,$D23,P$9)</f>
        <v>20000</v>
      </c>
      <c r="Q23" s="21">
        <f ca="1">_xll.DBRW($C$3,$E$6,$G$12,$D23,Q$9)</f>
        <v>1.4500000000000001E-2</v>
      </c>
      <c r="R23" s="23">
        <f ca="1">_xll.DBRW($C$3,$E$6,$G$12,$D23,R$9)</f>
        <v>86</v>
      </c>
      <c r="S23" s="23">
        <f ca="1">_xll.DBRW($C$3,$E$6,$G$12,$D23,S$9)</f>
        <v>150</v>
      </c>
      <c r="T23" s="23">
        <f ca="1">_xll.DBRW($C$3,$E$6,$G$12,$D23,T$9)</f>
        <v>35</v>
      </c>
      <c r="U23" s="24">
        <f ca="1">_xll.DBRW($C$3,$E$6,$G$12,$D23,U$9)</f>
        <v>25</v>
      </c>
    </row>
    <row r="24" spans="1:21" s="13" customFormat="1" x14ac:dyDescent="0.25">
      <c r="A24" s="19"/>
      <c r="D24" s="20" t="s">
        <v>12</v>
      </c>
      <c r="G24" s="26" t="str">
        <f t="shared" ref="G24" si="2">D24</f>
        <v>005 - Fuji (New Wave)</v>
      </c>
      <c r="H24" s="21">
        <f ca="1">_xll.DBRW($C$3,$E$6,$G$12,$D24,H$9)</f>
        <v>0</v>
      </c>
      <c r="I24" s="22">
        <f ca="1">_xll.DBRW($C$3,$E$6,$G$12,$D24,I$9)</f>
        <v>0</v>
      </c>
      <c r="J24" s="21">
        <f ca="1">_xll.DBRW($C$3,$E$6,$G$12,$D24,J$9)</f>
        <v>0</v>
      </c>
      <c r="K24" s="22">
        <f ca="1">_xll.DBRW($C$3,$E$6,$G$12,$D24,K$9)</f>
        <v>0</v>
      </c>
      <c r="L24" s="21">
        <f ca="1">_xll.DBRW($C$3,$E$6,$G$12,$D24,L$9)</f>
        <v>0</v>
      </c>
      <c r="M24" s="22">
        <f ca="1">_xll.DBRW($C$3,$E$6,$G$12,$D24,M$9)</f>
        <v>0</v>
      </c>
      <c r="N24" s="21">
        <f ca="1">_xll.DBRW($C$3,$E$6,$G$12,$D24,N$9)</f>
        <v>0.14000000000000001</v>
      </c>
      <c r="O24" s="21">
        <f ca="1">_xll.DBRW($C$3,$E$6,$G$12,$D24,O$9)</f>
        <v>0.1</v>
      </c>
      <c r="P24" s="22">
        <f ca="1">_xll.DBRW($C$3,$E$6,$G$12,$D24,P$9)</f>
        <v>20000</v>
      </c>
      <c r="Q24" s="21">
        <f ca="1">_xll.DBRW($C$3,$E$6,$G$12,$D24,Q$9)</f>
        <v>0</v>
      </c>
      <c r="R24" s="23">
        <f ca="1">_xll.DBRW($C$3,$E$6,$G$12,$D24,R$9)</f>
        <v>86</v>
      </c>
      <c r="S24" s="23">
        <f ca="1">_xll.DBRW($C$3,$E$6,$G$12,$D24,S$9)</f>
        <v>150</v>
      </c>
      <c r="T24" s="23">
        <f ca="1">_xll.DBRW($C$3,$E$6,$G$12,$D24,T$9)</f>
        <v>35</v>
      </c>
      <c r="U24" s="24">
        <f ca="1">_xll.DBRW($C$3,$E$6,$G$12,$D24,U$9)</f>
        <v>25</v>
      </c>
    </row>
  </sheetData>
  <mergeCells count="7">
    <mergeCell ref="Q15:U15"/>
    <mergeCell ref="H16:I16"/>
    <mergeCell ref="O15:P15"/>
    <mergeCell ref="O16:P16"/>
    <mergeCell ref="H15:N15"/>
    <mergeCell ref="J16:K16"/>
    <mergeCell ref="L16:M16"/>
  </mergeCells>
  <dataValidations count="3">
    <dataValidation allowBlank="1" showInputMessage="1" showErrorMessage="1" sqref="G12 G14:U14"/>
    <dataValidation allowBlank="1" showInputMessage="1" showErrorMessage="1" error="&lt;D$ROW&gt;" sqref="D24"/>
    <dataValidation allowBlank="1" showInputMessage="1" showErrorMessage="1" error="&lt;D!ROW&gt;" sqref="D19:D23"/>
  </dataValidations>
  <pageMargins left="0.7" right="0.7" top="0.75" bottom="0.75" header="0.3" footer="0.3"/>
  <pageSetup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Entry</vt:lpstr>
      <vt:lpstr>Server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Friedberg</dc:creator>
  <cp:lastModifiedBy>modeler2</cp:lastModifiedBy>
  <cp:lastPrinted>2016-06-29T17:55:23Z</cp:lastPrinted>
  <dcterms:created xsi:type="dcterms:W3CDTF">2012-12-13T15:10:59Z</dcterms:created>
  <dcterms:modified xsi:type="dcterms:W3CDTF">2017-09-14T15:14:37Z</dcterms:modified>
</cp:coreProperties>
</file>